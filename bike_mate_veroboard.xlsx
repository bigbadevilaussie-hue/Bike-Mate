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ts" sheetId="1" state="visible" r:id="rId3"/>
    <sheet name="Jumpers" sheetId="2" state="visible" r:id="rId4"/>
    <sheet name="Pads" sheetId="3" state="visible" r:id="rId5"/>
    <sheet name="Cuts" sheetId="4" state="visible" r:id="rId6"/>
    <sheet name="Module pins" sheetId="5" state="visible" r:id="rId7"/>
    <sheet name="Build steps" sheetId="6" state="visible" r:id="rId8"/>
    <sheet name="Not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<sst xmlns="http://schemas.openxmlformats.org/spreadsheetml/2006/main" count="328" uniqueCount="251">
  <si>
    <t xml:space="preserve">Bike-Mate veroboard: parts (13 strips A-M x 30 holes)</t>
  </si>
  <si>
    <t xml:space="preserve">Code</t>
  </si>
  <si>
    <t xml:space="preserve">Part</t>
  </si>
  <si>
    <t xml:space="preserve">Value</t>
  </si>
  <si>
    <t xml:space="preserve">Qty</t>
  </si>
  <si>
    <t xml:space="preserve">From hole</t>
  </si>
  <si>
    <t xml:space="preserve">To hole</t>
  </si>
  <si>
    <t xml:space="preserve">Function / notes</t>
  </si>
  <si>
    <t xml:space="preserve">Fitted? (Yes/No)</t>
  </si>
  <si>
    <t xml:space="preserve">D1</t>
  </si>
  <si>
    <t xml:space="preserve">TVS diode</t>
  </si>
  <si>
    <t xml:space="preserve">SA16CA (bidirectional)</t>
  </si>
  <si>
    <t xml:space="preserve">A2</t>
  </si>
  <si>
    <t xml:space="preserve">M2</t>
  </si>
  <si>
    <t xml:space="preserve">12 V rail to GND, lay along column 2</t>
  </si>
  <si>
    <t xml:space="preserve">No</t>
  </si>
  <si>
    <t xml:space="preserve">R1</t>
  </si>
  <si>
    <t xml:space="preserve">Resistor</t>
  </si>
  <si>
    <t xml:space="preserve">98.8k</t>
  </si>
  <si>
    <t xml:space="preserve">A5</t>
  </si>
  <si>
    <t xml:space="preserve">D5</t>
  </si>
  <si>
    <t xml:space="preserve">Divider top (12 V to GPIO 0 node)</t>
  </si>
  <si>
    <t xml:space="preserve">R2</t>
  </si>
  <si>
    <t xml:space="preserve">9.98k</t>
  </si>
  <si>
    <t xml:space="preserve">D6</t>
  </si>
  <si>
    <t xml:space="preserve">J6</t>
  </si>
  <si>
    <t xml:space="preserve">Divider bottom (GPIO 0 to GND)</t>
  </si>
  <si>
    <t xml:space="preserve">C1</t>
  </si>
  <si>
    <t xml:space="preserve">Capacitor</t>
  </si>
  <si>
    <t xml:space="preserve">100 nF ceramic</t>
  </si>
  <si>
    <t xml:space="preserve">D7</t>
  </si>
  <si>
    <t xml:space="preserve">J7</t>
  </si>
  <si>
    <t xml:space="preserve">ADC filter on GPIO 0</t>
  </si>
  <si>
    <t xml:space="preserve">R3</t>
  </si>
  <si>
    <t xml:space="preserve">10k</t>
  </si>
  <si>
    <t xml:space="preserve">F8</t>
  </si>
  <si>
    <t xml:space="preserve">I8</t>
  </si>
  <si>
    <t xml:space="preserve">GPS TX pull-up (GPIO 2 to 3V3)</t>
  </si>
  <si>
    <t xml:space="preserve">R4</t>
  </si>
  <si>
    <t xml:space="preserve">G10</t>
  </si>
  <si>
    <t xml:space="preserve">J10</t>
  </si>
  <si>
    <t xml:space="preserve">NTC series resistor (GPIO 3 to GND)</t>
  </si>
  <si>
    <t xml:space="preserve">R5</t>
  </si>
  <si>
    <t xml:space="preserve">330 ohm</t>
  </si>
  <si>
    <t xml:space="preserve">F20</t>
  </si>
  <si>
    <t xml:space="preserve">I20</t>
  </si>
  <si>
    <t xml:space="preserve">Red alarm LED (GPIO 10 to LED anode pad I21)</t>
  </si>
  <si>
    <t xml:space="preserve">R6</t>
  </si>
  <si>
    <t xml:space="preserve">A26</t>
  </si>
  <si>
    <t xml:space="preserve">C26</t>
  </si>
  <si>
    <t xml:space="preserve">IRF4905 gate pull-up. Mount upright</t>
  </si>
  <si>
    <t xml:space="preserve">R7</t>
  </si>
  <si>
    <t xml:space="preserve">1k</t>
  </si>
  <si>
    <t xml:space="preserve">D28</t>
  </si>
  <si>
    <t xml:space="preserve">G28</t>
  </si>
  <si>
    <t xml:space="preserve">Q1 base resistor (from GPIO 1 landing row G)</t>
  </si>
  <si>
    <t xml:space="preserve">R8</t>
  </si>
  <si>
    <t xml:space="preserve">D29</t>
  </si>
  <si>
    <t xml:space="preserve">E29</t>
  </si>
  <si>
    <t xml:space="preserve">Q1 base pull-down. Mount upright</t>
  </si>
  <si>
    <t xml:space="preserve">R9</t>
  </si>
  <si>
    <t xml:space="preserve">H26</t>
  </si>
  <si>
    <t xml:space="preserve">K26</t>
  </si>
  <si>
    <t xml:space="preserve">Q2 base resistor (from GPIO 4 landing row H)</t>
  </si>
  <si>
    <t xml:space="preserve">R10</t>
  </si>
  <si>
    <t xml:space="preserve">K29</t>
  </si>
  <si>
    <t xml:space="preserve">M29</t>
  </si>
  <si>
    <t xml:space="preserve">Q2 base pull-down. Mount upright</t>
  </si>
  <si>
    <t xml:space="preserve">U1</t>
  </si>
  <si>
    <t xml:space="preserve">P-MOSFET</t>
  </si>
  <si>
    <t xml:space="preserve">IRF4905</t>
  </si>
  <si>
    <t xml:space="preserve">A24</t>
  </si>
  <si>
    <t xml:space="preserve">C24</t>
  </si>
  <si>
    <t xml:space="preserve">Column 24: A = source, B = drain, C = gate</t>
  </si>
  <si>
    <t xml:space="preserve">Q1</t>
  </si>
  <si>
    <t xml:space="preserve">NPN transistor</t>
  </si>
  <si>
    <t xml:space="preserve">2N2222</t>
  </si>
  <si>
    <t xml:space="preserve">C27</t>
  </si>
  <si>
    <t xml:space="preserve">E27</t>
  </si>
  <si>
    <t xml:space="preserve">Column 27: C = collector, D = base, E = emitter</t>
  </si>
  <si>
    <t xml:space="preserve">Q2</t>
  </si>
  <si>
    <t xml:space="preserve">J27</t>
  </si>
  <si>
    <t xml:space="preserve">L27</t>
  </si>
  <si>
    <t xml:space="preserve">Column 27: J = collector, K = base, L = emitter</t>
  </si>
  <si>
    <t xml:space="preserve">Total parts</t>
  </si>
  <si>
    <t xml:space="preserve">Fitted</t>
  </si>
  <si>
    <t xml:space="preserve">Remaining</t>
  </si>
  <si>
    <t xml:space="preserve">Blue text in column H is for you to fill in (Yes or No).</t>
  </si>
  <si>
    <t xml:space="preserve">Jumper wires (5)</t>
  </si>
  <si>
    <t xml:space="preserve">Purpose</t>
  </si>
  <si>
    <t xml:space="preserve">W1</t>
  </si>
  <si>
    <t xml:space="preserve">J12</t>
  </si>
  <si>
    <t xml:space="preserve">M12</t>
  </si>
  <si>
    <t xml:space="preserve">Module GND row to GND rail</t>
  </si>
  <si>
    <t xml:space="preserve">W2</t>
  </si>
  <si>
    <t xml:space="preserve">E13</t>
  </si>
  <si>
    <t xml:space="preserve">G23</t>
  </si>
  <si>
    <t xml:space="preserve">GPIO 1 to IRF4905 driver (R7 landing row). Insulated wire, routed above the module pins</t>
  </si>
  <si>
    <t xml:space="preserve">W3</t>
  </si>
  <si>
    <t xml:space="preserve">H13</t>
  </si>
  <si>
    <t xml:space="preserve">H23</t>
  </si>
  <si>
    <t xml:space="preserve">GPIO 4 to buzzer driver (R9 landing row). Insulated wire, routed below the module pins</t>
  </si>
  <si>
    <t xml:space="preserve">W4</t>
  </si>
  <si>
    <t xml:space="preserve">E30</t>
  </si>
  <si>
    <t xml:space="preserve">M30</t>
  </si>
  <si>
    <t xml:space="preserve">Q1 emitter row to GND rail</t>
  </si>
  <si>
    <t xml:space="preserve">W5</t>
  </si>
  <si>
    <t xml:space="preserve">L28</t>
  </si>
  <si>
    <t xml:space="preserve">M28</t>
  </si>
  <si>
    <t xml:space="preserve">Q2 emitter row to GND rail</t>
  </si>
  <si>
    <t xml:space="preserve">Count</t>
  </si>
  <si>
    <t xml:space="preserve">Solder pads (wires to off-board parts)</t>
  </si>
  <si>
    <t xml:space="preserve">Hole</t>
  </si>
  <si>
    <t xml:space="preserve">Net</t>
  </si>
  <si>
    <t xml:space="preserve">Connects to</t>
  </si>
  <si>
    <t xml:space="preserve">Wired? (Yes/No)</t>
  </si>
  <si>
    <t xml:space="preserve">A1</t>
  </si>
  <si>
    <t xml:space="preserve">+12 V rail</t>
  </si>
  <si>
    <t xml:space="preserve">12 V in (after fuse and kill switch)</t>
  </si>
  <si>
    <t xml:space="preserve">M1</t>
  </si>
  <si>
    <t xml:space="preserve">GND rail</t>
  </si>
  <si>
    <t xml:space="preserve">GND in</t>
  </si>
  <si>
    <t xml:space="preserve">A3</t>
  </si>
  <si>
    <t xml:space="preserve">MP1584 IN+</t>
  </si>
  <si>
    <t xml:space="preserve">M3</t>
  </si>
  <si>
    <t xml:space="preserve">MP1584 IN-</t>
  </si>
  <si>
    <t xml:space="preserve">K3</t>
  </si>
  <si>
    <t xml:space="preserve">5V</t>
  </si>
  <si>
    <t xml:space="preserve">MP1584 OUT+ (5 V to SuperMini)</t>
  </si>
  <si>
    <t xml:space="preserve">J3</t>
  </si>
  <si>
    <t xml:space="preserve">GND (module row)</t>
  </si>
  <si>
    <t xml:space="preserve">MP1584 OUT-</t>
  </si>
  <si>
    <t xml:space="preserve">F9</t>
  </si>
  <si>
    <t xml:space="preserve">GPIO 2</t>
  </si>
  <si>
    <t xml:space="preserve">GPS TX</t>
  </si>
  <si>
    <t xml:space="preserve">G9</t>
  </si>
  <si>
    <t xml:space="preserve">GPIO 3</t>
  </si>
  <si>
    <t xml:space="preserve">NTC lead 1</t>
  </si>
  <si>
    <t xml:space="preserve">I9</t>
  </si>
  <si>
    <t xml:space="preserve">3V3</t>
  </si>
  <si>
    <t xml:space="preserve">NTC lead 2</t>
  </si>
  <si>
    <t xml:space="preserve">I12</t>
  </si>
  <si>
    <t xml:space="preserve">OLED VCC</t>
  </si>
  <si>
    <t xml:space="preserve">G19</t>
  </si>
  <si>
    <t xml:space="preserve">GPIO 9</t>
  </si>
  <si>
    <t xml:space="preserve">OLED SCL</t>
  </si>
  <si>
    <t xml:space="preserve">J19</t>
  </si>
  <si>
    <t xml:space="preserve">GPIO 6</t>
  </si>
  <si>
    <t xml:space="preserve">OLED SDA</t>
  </si>
  <si>
    <t xml:space="preserve">M20</t>
  </si>
  <si>
    <t xml:space="preserve">OLED GND</t>
  </si>
  <si>
    <t xml:space="preserve">K19</t>
  </si>
  <si>
    <t xml:space="preserve">GPIO 5</t>
  </si>
  <si>
    <t xml:space="preserve">Wake button</t>
  </si>
  <si>
    <t xml:space="preserve">M19</t>
  </si>
  <si>
    <t xml:space="preserve">Wake button return</t>
  </si>
  <si>
    <t xml:space="preserve">I21</t>
  </si>
  <si>
    <t xml:space="preserve">LED anode net</t>
  </si>
  <si>
    <t xml:space="preserve">Red alarm LED anode (via R5)</t>
  </si>
  <si>
    <t xml:space="preserve">M21</t>
  </si>
  <si>
    <t xml:space="preserve">Red alarm LED cathode</t>
  </si>
  <si>
    <t xml:space="preserve">B25</t>
  </si>
  <si>
    <t xml:space="preserve">Switched 12 V</t>
  </si>
  <si>
    <t xml:space="preserve">Mini 360 IN+ (or USB charger +)</t>
  </si>
  <si>
    <t xml:space="preserve">B29</t>
  </si>
  <si>
    <t xml:space="preserve">USB charger + (or Mini 360 IN+)</t>
  </si>
  <si>
    <t xml:space="preserve">M23</t>
  </si>
  <si>
    <t xml:space="preserve">Mini 360 IN-</t>
  </si>
  <si>
    <t xml:space="preserve">M24</t>
  </si>
  <si>
    <t xml:space="preserve">USB charger -</t>
  </si>
  <si>
    <t xml:space="preserve">A30</t>
  </si>
  <si>
    <t xml:space="preserve">Buzzer + (SFM-27 red)</t>
  </si>
  <si>
    <t xml:space="preserve">J25</t>
  </si>
  <si>
    <t xml:space="preserve">Buzzer - net</t>
  </si>
  <si>
    <t xml:space="preserve">Buzzer - (SFM-27 black, Q2 collector row)</t>
  </si>
  <si>
    <t xml:space="preserve">Pads</t>
  </si>
  <si>
    <t xml:space="preserve">Wired</t>
  </si>
  <si>
    <t xml:space="preserve">Strip cuts (remove copper at the hole, check with continuity)</t>
  </si>
  <si>
    <t xml:space="preserve">Column</t>
  </si>
  <si>
    <t xml:space="preserve">Rows</t>
  </si>
  <si>
    <t xml:space="preserve">Cuts</t>
  </si>
  <si>
    <t xml:space="preserve">14</t>
  </si>
  <si>
    <t xml:space="preserve">D to K</t>
  </si>
  <si>
    <t xml:space="preserve">Separates left and right module header groups</t>
  </si>
  <si>
    <t xml:space="preserve">22</t>
  </si>
  <si>
    <t xml:space="preserve">Separates module pad area from driver zone</t>
  </si>
  <si>
    <t xml:space="preserve">18</t>
  </si>
  <si>
    <t xml:space="preserve">I only</t>
  </si>
  <si>
    <t xml:space="preserve">Isolates unused GPIO 7 pin from the LED pad island</t>
  </si>
  <si>
    <t xml:space="preserve">Total cuts</t>
  </si>
  <si>
    <t xml:space="preserve">SuperMini on rows D-K, USB-C end toward the GND rail (verify against your silkscreen)</t>
  </si>
  <si>
    <t xml:space="preserve">Row</t>
  </si>
  <si>
    <t xml:space="preserve">Left header (col 11)</t>
  </si>
  <si>
    <t xml:space="preserve">Left use</t>
  </si>
  <si>
    <t xml:space="preserve">Right header (col 17)</t>
  </si>
  <si>
    <t xml:space="preserve">Right use</t>
  </si>
  <si>
    <t xml:space="preserve">D</t>
  </si>
  <si>
    <t xml:space="preserve">GPIO 0</t>
  </si>
  <si>
    <t xml:space="preserve">Voltage divider node (R1, R2, C1)</t>
  </si>
  <si>
    <t xml:space="preserve">GPIO 21</t>
  </si>
  <si>
    <t xml:space="preserve">Unused</t>
  </si>
  <si>
    <t xml:space="preserve">E</t>
  </si>
  <si>
    <t xml:space="preserve">GPIO 1</t>
  </si>
  <si>
    <t xml:space="preserve">IRF4905 driver via W2</t>
  </si>
  <si>
    <t xml:space="preserve">GPIO 20</t>
  </si>
  <si>
    <t xml:space="preserve">F</t>
  </si>
  <si>
    <t xml:space="preserve">GPS TX and R3 pull-up</t>
  </si>
  <si>
    <t xml:space="preserve">GPIO 10</t>
  </si>
  <si>
    <t xml:space="preserve">Alarm LED via R5</t>
  </si>
  <si>
    <t xml:space="preserve">G</t>
  </si>
  <si>
    <t xml:space="preserve">NTC network</t>
  </si>
  <si>
    <t xml:space="preserve">OLED SCL pad (G19)</t>
  </si>
  <si>
    <t xml:space="preserve">H</t>
  </si>
  <si>
    <t xml:space="preserve">GPIO 4</t>
  </si>
  <si>
    <t xml:space="preserve">Buzzer driver via W3</t>
  </si>
  <si>
    <t xml:space="preserve">GPIO 8</t>
  </si>
  <si>
    <t xml:space="preserve">Unused (onboard LED)</t>
  </si>
  <si>
    <t xml:space="preserve">I</t>
  </si>
  <si>
    <t xml:space="preserve">3V3 net (R3, NTC, OLED VCC)</t>
  </si>
  <si>
    <t xml:space="preserve">GPIO 7</t>
  </si>
  <si>
    <t xml:space="preserve">J</t>
  </si>
  <si>
    <t xml:space="preserve">GND</t>
  </si>
  <si>
    <t xml:space="preserve">GND (tied to rail by W1)</t>
  </si>
  <si>
    <t xml:space="preserve">OLED SDA pad (J19)</t>
  </si>
  <si>
    <t xml:space="preserve">K</t>
  </si>
  <si>
    <t xml:space="preserve">5 V from MP1584</t>
  </si>
  <si>
    <t xml:space="preserve">Wake button pad (K19)</t>
  </si>
  <si>
    <t xml:space="preserve">Build order</t>
  </si>
  <si>
    <t xml:space="preserve">Step</t>
  </si>
  <si>
    <t xml:space="preserve">Task</t>
  </si>
  <si>
    <t xml:space="preserve">Done? (Yes/No)</t>
  </si>
  <si>
    <t xml:space="preserve">Trim board to 13 strips x 30 holes</t>
  </si>
  <si>
    <t xml:space="preserve">Make the 17 cuts and check each with continuity</t>
  </si>
  <si>
    <t xml:space="preserve">Fit female headers at columns 11 and 17 (rows D-K)</t>
  </si>
  <si>
    <t xml:space="preserve">Fit resistors, C1 and D1 (stand R6, R8, R10 upright)</t>
  </si>
  <si>
    <t xml:space="preserve">Fit U1, Q1 and Q2 (check pin order, flip 180 degrees if needed)</t>
  </si>
  <si>
    <t xml:space="preserve">Add the five jumper wires</t>
  </si>
  <si>
    <t xml:space="preserve">Wire the pads to the off-board parts</t>
  </si>
  <si>
    <t xml:space="preserve">Continuity check: no short between rail A and rail M, no unintended links between rows</t>
  </si>
  <si>
    <t xml:space="preserve">Power up without the SuperMini: confirm 5 V, 3V3 and GND at its sockets</t>
  </si>
  <si>
    <t xml:space="preserve">Insert the SuperMini, then check voltage reading and sleep current</t>
  </si>
  <si>
    <t xml:space="preserve">Progress</t>
  </si>
  <si>
    <t xml:space="preserve">Assumptions and checks</t>
  </si>
  <si>
    <t xml:space="preserve">Layout designed from veroboard.txt (Bike-Mate V5.63). It is untested: verify every cut and connection with a continuity tester before powering.</t>
  </si>
  <si>
    <t xml:space="preserve">Grid: rows A-M are strips running left to right, columns 1-30. Row A is the +12 V rail, row M is the GND rail.</t>
  </si>
  <si>
    <t xml:space="preserve">Module headers assumed 6 holes apart (columns 11 and 17). If yours are 7 holes apart, shift everything right of the module by one column and move the first cut to the midpoint.</t>
  </si>
  <si>
    <t xml:space="preserve">SuperMini pin order assumed: left header GPIO 0,1,2,3,4,3V3,GND,5V; right header GPIO 21,20,10,9,8,7,6,5 (USB-C toward the GND rail). Confirm against your board.</t>
  </si>
  <si>
    <t xml:space="preserve">Check 2N2222 and IRF4905 pin order; flip each part 180 degrees if the collector or gate lands on the wrong row.</t>
  </si>
  <si>
    <t xml:space="preserve">R6, R8 and R10 have only 1-2 holes between their rows, so mount them upright.</t>
  </si>
  <si>
    <t xml:space="preserve">MP1584, Mini 360, USB charger, GPS, fan, OLED, buzzer, NTC, button and LED connect by wire to the pads; their footprints are not on the board.</t>
  </si>
  <si>
    <t xml:space="preserve">GPIO 2 and GPIO 9 are strapping pins and must be high at reset. Measure sleep current with ACC off (see veroboard.txt known issues).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</si>
</sst>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6"/>
    <col collapsed="false" customWidth="true" hidden="false" outlineLevel="0" max="6" min="5" style="0" width="11"/>
    <col collapsed="false" customWidth="true" hidden="false" outlineLevel="0" max="7" min="7" style="0" width="52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customFormat="false" ht="15" hidden="false" customHeight="false" outlineLevel="0" collapsed="false">
      <c r="A4" s="3" t="s">
        <v>9</v>
      </c>
      <c r="B4" s="3" t="s">
        <v>10</v>
      </c>
      <c r="C4" s="3" t="s">
        <v>11</v>
      </c>
      <c r="D4" s="3" t="n">
        <v>1</v>
      </c>
      <c r="E4" s="3" t="s">
        <v>12</v>
      </c>
      <c r="F4" s="3" t="s">
        <v>13</v>
      </c>
      <c r="G4" s="3" t="s">
        <v>14</v>
      </c>
      <c r="H4" s="4" t="s">
        <v>15</v>
      </c>
    </row>
    <row r="5" customFormat="false" ht="15" hidden="false" customHeight="false" outlineLevel="0" collapsed="false">
      <c r="A5" s="3" t="s">
        <v>16</v>
      </c>
      <c r="B5" s="3" t="s">
        <v>17</v>
      </c>
      <c r="C5" s="3" t="s">
        <v>18</v>
      </c>
      <c r="D5" s="3" t="n">
        <v>1</v>
      </c>
      <c r="E5" s="3" t="s">
        <v>19</v>
      </c>
      <c r="F5" s="3" t="s">
        <v>20</v>
      </c>
      <c r="G5" s="3" t="s">
        <v>21</v>
      </c>
      <c r="H5" s="4" t="s">
        <v>15</v>
      </c>
    </row>
    <row r="6" customFormat="false" ht="15" hidden="false" customHeight="false" outlineLevel="0" collapsed="false">
      <c r="A6" s="3" t="s">
        <v>22</v>
      </c>
      <c r="B6" s="3" t="s">
        <v>17</v>
      </c>
      <c r="C6" s="3" t="s">
        <v>23</v>
      </c>
      <c r="D6" s="3" t="n">
        <v>1</v>
      </c>
      <c r="E6" s="3" t="s">
        <v>24</v>
      </c>
      <c r="F6" s="3" t="s">
        <v>25</v>
      </c>
      <c r="G6" s="3" t="s">
        <v>26</v>
      </c>
      <c r="H6" s="4" t="s">
        <v>15</v>
      </c>
    </row>
    <row r="7" customFormat="false" ht="15" hidden="false" customHeight="false" outlineLevel="0" collapsed="false">
      <c r="A7" s="3" t="s">
        <v>27</v>
      </c>
      <c r="B7" s="3" t="s">
        <v>28</v>
      </c>
      <c r="C7" s="3" t="s">
        <v>29</v>
      </c>
      <c r="D7" s="3" t="n">
        <v>1</v>
      </c>
      <c r="E7" s="3" t="s">
        <v>30</v>
      </c>
      <c r="F7" s="3" t="s">
        <v>31</v>
      </c>
      <c r="G7" s="3" t="s">
        <v>32</v>
      </c>
      <c r="H7" s="4" t="s">
        <v>15</v>
      </c>
    </row>
    <row r="8" customFormat="false" ht="15" hidden="false" customHeight="false" outlineLevel="0" collapsed="false">
      <c r="A8" s="3" t="s">
        <v>33</v>
      </c>
      <c r="B8" s="3" t="s">
        <v>17</v>
      </c>
      <c r="C8" s="3" t="s">
        <v>34</v>
      </c>
      <c r="D8" s="3" t="n">
        <v>1</v>
      </c>
      <c r="E8" s="3" t="s">
        <v>35</v>
      </c>
      <c r="F8" s="3" t="s">
        <v>36</v>
      </c>
      <c r="G8" s="3" t="s">
        <v>37</v>
      </c>
      <c r="H8" s="4" t="s">
        <v>15</v>
      </c>
    </row>
    <row r="9" customFormat="false" ht="15" hidden="false" customHeight="false" outlineLevel="0" collapsed="false">
      <c r="A9" s="3" t="s">
        <v>38</v>
      </c>
      <c r="B9" s="3" t="s">
        <v>17</v>
      </c>
      <c r="C9" s="3" t="s">
        <v>34</v>
      </c>
      <c r="D9" s="3" t="n">
        <v>1</v>
      </c>
      <c r="E9" s="3" t="s">
        <v>39</v>
      </c>
      <c r="F9" s="3" t="s">
        <v>40</v>
      </c>
      <c r="G9" s="3" t="s">
        <v>41</v>
      </c>
      <c r="H9" s="4" t="s">
        <v>15</v>
      </c>
    </row>
    <row r="10" customFormat="false" ht="15" hidden="false" customHeight="false" outlineLevel="0" collapsed="false">
      <c r="A10" s="3" t="s">
        <v>42</v>
      </c>
      <c r="B10" s="3" t="s">
        <v>17</v>
      </c>
      <c r="C10" s="3" t="s">
        <v>43</v>
      </c>
      <c r="D10" s="3" t="n">
        <v>1</v>
      </c>
      <c r="E10" s="3" t="s">
        <v>44</v>
      </c>
      <c r="F10" s="3" t="s">
        <v>45</v>
      </c>
      <c r="G10" s="3" t="s">
        <v>46</v>
      </c>
      <c r="H10" s="4" t="s">
        <v>15</v>
      </c>
    </row>
    <row r="11" customFormat="false" ht="15" hidden="false" customHeight="false" outlineLevel="0" collapsed="false">
      <c r="A11" s="3" t="s">
        <v>47</v>
      </c>
      <c r="B11" s="3" t="s">
        <v>17</v>
      </c>
      <c r="C11" s="3" t="s">
        <v>34</v>
      </c>
      <c r="D11" s="3" t="n">
        <v>1</v>
      </c>
      <c r="E11" s="3" t="s">
        <v>48</v>
      </c>
      <c r="F11" s="3" t="s">
        <v>49</v>
      </c>
      <c r="G11" s="3" t="s">
        <v>50</v>
      </c>
      <c r="H11" s="4" t="s">
        <v>15</v>
      </c>
    </row>
    <row r="12" customFormat="false" ht="15" hidden="false" customHeight="false" outlineLevel="0" collapsed="false">
      <c r="A12" s="3" t="s">
        <v>51</v>
      </c>
      <c r="B12" s="3" t="s">
        <v>17</v>
      </c>
      <c r="C12" s="3" t="s">
        <v>52</v>
      </c>
      <c r="D12" s="3" t="n">
        <v>1</v>
      </c>
      <c r="E12" s="3" t="s">
        <v>53</v>
      </c>
      <c r="F12" s="3" t="s">
        <v>54</v>
      </c>
      <c r="G12" s="3" t="s">
        <v>55</v>
      </c>
      <c r="H12" s="4" t="s">
        <v>15</v>
      </c>
    </row>
    <row r="13" customFormat="false" ht="15" hidden="false" customHeight="false" outlineLevel="0" collapsed="false">
      <c r="A13" s="3" t="s">
        <v>56</v>
      </c>
      <c r="B13" s="3" t="s">
        <v>17</v>
      </c>
      <c r="C13" s="3" t="s">
        <v>34</v>
      </c>
      <c r="D13" s="3" t="n">
        <v>1</v>
      </c>
      <c r="E13" s="3" t="s">
        <v>57</v>
      </c>
      <c r="F13" s="3" t="s">
        <v>58</v>
      </c>
      <c r="G13" s="3" t="s">
        <v>59</v>
      </c>
      <c r="H13" s="4" t="s">
        <v>15</v>
      </c>
    </row>
    <row r="14" customFormat="false" ht="15" hidden="false" customHeight="false" outlineLevel="0" collapsed="false">
      <c r="A14" s="3" t="s">
        <v>60</v>
      </c>
      <c r="B14" s="3" t="s">
        <v>17</v>
      </c>
      <c r="C14" s="3" t="s">
        <v>52</v>
      </c>
      <c r="D14" s="3" t="n">
        <v>1</v>
      </c>
      <c r="E14" s="3" t="s">
        <v>61</v>
      </c>
      <c r="F14" s="3" t="s">
        <v>62</v>
      </c>
      <c r="G14" s="3" t="s">
        <v>63</v>
      </c>
      <c r="H14" s="4" t="s">
        <v>15</v>
      </c>
    </row>
    <row r="15" customFormat="false" ht="15" hidden="false" customHeight="false" outlineLevel="0" collapsed="false">
      <c r="A15" s="3" t="s">
        <v>64</v>
      </c>
      <c r="B15" s="3" t="s">
        <v>17</v>
      </c>
      <c r="C15" s="3" t="s">
        <v>34</v>
      </c>
      <c r="D15" s="3" t="n">
        <v>1</v>
      </c>
      <c r="E15" s="3" t="s">
        <v>65</v>
      </c>
      <c r="F15" s="3" t="s">
        <v>66</v>
      </c>
      <c r="G15" s="3" t="s">
        <v>67</v>
      </c>
      <c r="H15" s="4" t="s">
        <v>15</v>
      </c>
    </row>
    <row r="16" customFormat="false" ht="15" hidden="false" customHeight="false" outlineLevel="0" collapsed="false">
      <c r="A16" s="3" t="s">
        <v>68</v>
      </c>
      <c r="B16" s="3" t="s">
        <v>69</v>
      </c>
      <c r="C16" s="3" t="s">
        <v>70</v>
      </c>
      <c r="D16" s="3" t="n">
        <v>1</v>
      </c>
      <c r="E16" s="3" t="s">
        <v>71</v>
      </c>
      <c r="F16" s="3" t="s">
        <v>72</v>
      </c>
      <c r="G16" s="3" t="s">
        <v>73</v>
      </c>
      <c r="H16" s="4" t="s">
        <v>15</v>
      </c>
    </row>
    <row r="17" customFormat="false" ht="15" hidden="false" customHeight="false" outlineLevel="0" collapsed="false">
      <c r="A17" s="3" t="s">
        <v>74</v>
      </c>
      <c r="B17" s="3" t="s">
        <v>75</v>
      </c>
      <c r="C17" s="3" t="s">
        <v>76</v>
      </c>
      <c r="D17" s="3" t="n">
        <v>1</v>
      </c>
      <c r="E17" s="3" t="s">
        <v>77</v>
      </c>
      <c r="F17" s="3" t="s">
        <v>78</v>
      </c>
      <c r="G17" s="3" t="s">
        <v>79</v>
      </c>
      <c r="H17" s="4" t="s">
        <v>15</v>
      </c>
    </row>
    <row r="18" customFormat="false" ht="15" hidden="false" customHeight="false" outlineLevel="0" collapsed="false">
      <c r="A18" s="3" t="s">
        <v>80</v>
      </c>
      <c r="B18" s="3" t="s">
        <v>75</v>
      </c>
      <c r="C18" s="3" t="s">
        <v>76</v>
      </c>
      <c r="D18" s="3" t="n">
        <v>1</v>
      </c>
      <c r="E18" s="3" t="s">
        <v>81</v>
      </c>
      <c r="F18" s="3" t="s">
        <v>82</v>
      </c>
      <c r="G18" s="3" t="s">
        <v>83</v>
      </c>
      <c r="H18" s="4" t="s">
        <v>15</v>
      </c>
    </row>
    <row r="20" customFormat="false" ht="15" hidden="false" customHeight="false" outlineLevel="0" collapsed="false">
      <c r="A20" s="5" t="s">
        <v>84</v>
      </c>
      <c r="D20" s="5" t="n">
        <f aca="false">SUM(D4:D18)</f>
        <v>15</v>
      </c>
    </row>
    <row r="21" customFormat="false" ht="15" hidden="false" customHeight="false" outlineLevel="0" collapsed="false">
      <c r="A21" s="5" t="s">
        <v>85</v>
      </c>
      <c r="D21" s="5" t="n">
        <f aca="false">COUNTIF(H4:H18,"Yes")</f>
        <v>0</v>
      </c>
    </row>
    <row r="22" customFormat="false" ht="15" hidden="false" customHeight="false" outlineLevel="0" collapsed="false">
      <c r="A22" s="5" t="s">
        <v>86</v>
      </c>
      <c r="D22" s="5" t="n">
        <f aca="false">D20-D21</f>
        <v>15</v>
      </c>
    </row>
    <row r="24" customFormat="false" ht="15" hidden="false" customHeight="false" outlineLevel="0" collapsed="false">
      <c r="A24" s="6" t="s">
        <v>87</v>
      </c>
    </row>
  </sheetData>
  <dataValidations count="1">
    <dataValidation allowBlank="true" errorStyle="stop" operator="between" showDropDown="false" showErrorMessage="false" showInputMessage="false" sqref="H4:H18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2"/>
    <col collapsed="false" customWidth="true" hidden="false" outlineLevel="0" max="4" min="4" style="0" width="80"/>
  </cols>
  <sheetData>
    <row r="1" customFormat="false" ht="15" hidden="false" customHeight="false" outlineLevel="0" collapsed="false">
      <c r="A1" s="1" t="s">
        <v>88</v>
      </c>
    </row>
    <row r="3" customFormat="false" ht="15" hidden="false" customHeight="false" outlineLevel="0" collapsed="false">
      <c r="A3" s="2" t="s">
        <v>1</v>
      </c>
      <c r="B3" s="2" t="s">
        <v>5</v>
      </c>
      <c r="C3" s="2" t="s">
        <v>6</v>
      </c>
      <c r="D3" s="2" t="s">
        <v>89</v>
      </c>
    </row>
    <row r="4" customFormat="false" ht="15" hidden="false" customHeight="false" outlineLevel="0" collapsed="false">
      <c r="A4" s="3" t="s">
        <v>90</v>
      </c>
      <c r="B4" s="3" t="s">
        <v>91</v>
      </c>
      <c r="C4" s="3" t="s">
        <v>92</v>
      </c>
      <c r="D4" s="3" t="s">
        <v>93</v>
      </c>
    </row>
    <row r="5" customFormat="false" ht="15" hidden="false" customHeight="false" outlineLevel="0" collapsed="false">
      <c r="A5" s="3" t="s">
        <v>94</v>
      </c>
      <c r="B5" s="3" t="s">
        <v>95</v>
      </c>
      <c r="C5" s="3" t="s">
        <v>96</v>
      </c>
      <c r="D5" s="3" t="s">
        <v>97</v>
      </c>
    </row>
    <row r="6" customFormat="false" ht="15" hidden="false" customHeight="false" outlineLevel="0" collapsed="false">
      <c r="A6" s="3" t="s">
        <v>98</v>
      </c>
      <c r="B6" s="3" t="s">
        <v>99</v>
      </c>
      <c r="C6" s="3" t="s">
        <v>100</v>
      </c>
      <c r="D6" s="3" t="s">
        <v>101</v>
      </c>
    </row>
    <row r="7" customFormat="false" ht="15" hidden="false" customHeight="false" outlineLevel="0" collapsed="false">
      <c r="A7" s="3" t="s">
        <v>102</v>
      </c>
      <c r="B7" s="3" t="s">
        <v>103</v>
      </c>
      <c r="C7" s="3" t="s">
        <v>104</v>
      </c>
      <c r="D7" s="3" t="s">
        <v>105</v>
      </c>
    </row>
    <row r="8" customFormat="false" ht="15" hidden="false" customHeight="false" outlineLevel="0" collapsed="false">
      <c r="A8" s="3" t="s">
        <v>106</v>
      </c>
      <c r="B8" s="3" t="s">
        <v>107</v>
      </c>
      <c r="C8" s="3" t="s">
        <v>108</v>
      </c>
      <c r="D8" s="3" t="s">
        <v>109</v>
      </c>
    </row>
    <row r="10" customFormat="false" ht="15" hidden="false" customHeight="false" outlineLevel="0" collapsed="false">
      <c r="A10" s="5" t="s">
        <v>110</v>
      </c>
      <c r="B10" s="5" t="n">
        <f aca="false">COUNTA(A4:A8)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48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1" t="s">
        <v>111</v>
      </c>
    </row>
    <row r="3" customFormat="false" ht="15" hidden="false" customHeight="false" outlineLevel="0" collapsed="false">
      <c r="A3" s="2" t="s">
        <v>112</v>
      </c>
      <c r="B3" s="2" t="s">
        <v>113</v>
      </c>
      <c r="C3" s="2" t="s">
        <v>114</v>
      </c>
      <c r="D3" s="2" t="s">
        <v>115</v>
      </c>
    </row>
    <row r="4" customFormat="false" ht="15" hidden="false" customHeight="false" outlineLevel="0" collapsed="false">
      <c r="A4" s="3" t="s">
        <v>116</v>
      </c>
      <c r="B4" s="3" t="s">
        <v>117</v>
      </c>
      <c r="C4" s="3" t="s">
        <v>118</v>
      </c>
      <c r="D4" s="4" t="s">
        <v>15</v>
      </c>
    </row>
    <row r="5" customFormat="false" ht="15" hidden="false" customHeight="false" outlineLevel="0" collapsed="false">
      <c r="A5" s="3" t="s">
        <v>119</v>
      </c>
      <c r="B5" s="3" t="s">
        <v>120</v>
      </c>
      <c r="C5" s="3" t="s">
        <v>121</v>
      </c>
      <c r="D5" s="4" t="s">
        <v>15</v>
      </c>
    </row>
    <row r="6" customFormat="false" ht="15" hidden="false" customHeight="false" outlineLevel="0" collapsed="false">
      <c r="A6" s="3" t="s">
        <v>122</v>
      </c>
      <c r="B6" s="3" t="s">
        <v>117</v>
      </c>
      <c r="C6" s="3" t="s">
        <v>123</v>
      </c>
      <c r="D6" s="4" t="s">
        <v>15</v>
      </c>
    </row>
    <row r="7" customFormat="false" ht="15" hidden="false" customHeight="false" outlineLevel="0" collapsed="false">
      <c r="A7" s="3" t="s">
        <v>124</v>
      </c>
      <c r="B7" s="3" t="s">
        <v>120</v>
      </c>
      <c r="C7" s="3" t="s">
        <v>125</v>
      </c>
      <c r="D7" s="4" t="s">
        <v>15</v>
      </c>
    </row>
    <row r="8" customFormat="false" ht="15" hidden="false" customHeight="false" outlineLevel="0" collapsed="false">
      <c r="A8" s="3" t="s">
        <v>126</v>
      </c>
      <c r="B8" s="3" t="s">
        <v>127</v>
      </c>
      <c r="C8" s="3" t="s">
        <v>128</v>
      </c>
      <c r="D8" s="4" t="s">
        <v>15</v>
      </c>
    </row>
    <row r="9" customFormat="false" ht="15" hidden="false" customHeight="false" outlineLevel="0" collapsed="false">
      <c r="A9" s="3" t="s">
        <v>129</v>
      </c>
      <c r="B9" s="3" t="s">
        <v>130</v>
      </c>
      <c r="C9" s="3" t="s">
        <v>131</v>
      </c>
      <c r="D9" s="4" t="s">
        <v>15</v>
      </c>
    </row>
    <row r="10" customFormat="false" ht="15" hidden="false" customHeight="false" outlineLevel="0" collapsed="false">
      <c r="A10" s="3" t="s">
        <v>132</v>
      </c>
      <c r="B10" s="3" t="s">
        <v>133</v>
      </c>
      <c r="C10" s="3" t="s">
        <v>134</v>
      </c>
      <c r="D10" s="4" t="s">
        <v>15</v>
      </c>
    </row>
    <row r="11" customFormat="false" ht="15" hidden="false" customHeight="false" outlineLevel="0" collapsed="false">
      <c r="A11" s="3" t="s">
        <v>135</v>
      </c>
      <c r="B11" s="3" t="s">
        <v>136</v>
      </c>
      <c r="C11" s="3" t="s">
        <v>137</v>
      </c>
      <c r="D11" s="4" t="s">
        <v>15</v>
      </c>
    </row>
    <row r="12" customFormat="false" ht="15" hidden="false" customHeight="false" outlineLevel="0" collapsed="false">
      <c r="A12" s="3" t="s">
        <v>138</v>
      </c>
      <c r="B12" s="3" t="s">
        <v>139</v>
      </c>
      <c r="C12" s="3" t="s">
        <v>140</v>
      </c>
      <c r="D12" s="4" t="s">
        <v>15</v>
      </c>
    </row>
    <row r="13" customFormat="false" ht="15" hidden="false" customHeight="false" outlineLevel="0" collapsed="false">
      <c r="A13" s="3" t="s">
        <v>141</v>
      </c>
      <c r="B13" s="3" t="s">
        <v>139</v>
      </c>
      <c r="C13" s="3" t="s">
        <v>142</v>
      </c>
      <c r="D13" s="4" t="s">
        <v>15</v>
      </c>
    </row>
    <row r="14" customFormat="false" ht="15" hidden="false" customHeight="false" outlineLevel="0" collapsed="false">
      <c r="A14" s="3" t="s">
        <v>143</v>
      </c>
      <c r="B14" s="3" t="s">
        <v>144</v>
      </c>
      <c r="C14" s="3" t="s">
        <v>145</v>
      </c>
      <c r="D14" s="4" t="s">
        <v>15</v>
      </c>
    </row>
    <row r="15" customFormat="false" ht="15" hidden="false" customHeight="false" outlineLevel="0" collapsed="false">
      <c r="A15" s="3" t="s">
        <v>146</v>
      </c>
      <c r="B15" s="3" t="s">
        <v>147</v>
      </c>
      <c r="C15" s="3" t="s">
        <v>148</v>
      </c>
      <c r="D15" s="4" t="s">
        <v>15</v>
      </c>
    </row>
    <row r="16" customFormat="false" ht="15" hidden="false" customHeight="false" outlineLevel="0" collapsed="false">
      <c r="A16" s="3" t="s">
        <v>149</v>
      </c>
      <c r="B16" s="3" t="s">
        <v>120</v>
      </c>
      <c r="C16" s="3" t="s">
        <v>150</v>
      </c>
      <c r="D16" s="4" t="s">
        <v>15</v>
      </c>
    </row>
    <row r="17" customFormat="false" ht="15" hidden="false" customHeight="false" outlineLevel="0" collapsed="false">
      <c r="A17" s="3" t="s">
        <v>151</v>
      </c>
      <c r="B17" s="3" t="s">
        <v>152</v>
      </c>
      <c r="C17" s="3" t="s">
        <v>153</v>
      </c>
      <c r="D17" s="4" t="s">
        <v>15</v>
      </c>
    </row>
    <row r="18" customFormat="false" ht="15" hidden="false" customHeight="false" outlineLevel="0" collapsed="false">
      <c r="A18" s="3" t="s">
        <v>154</v>
      </c>
      <c r="B18" s="3" t="s">
        <v>120</v>
      </c>
      <c r="C18" s="3" t="s">
        <v>155</v>
      </c>
      <c r="D18" s="4" t="s">
        <v>15</v>
      </c>
    </row>
    <row r="19" customFormat="false" ht="15" hidden="false" customHeight="false" outlineLevel="0" collapsed="false">
      <c r="A19" s="3" t="s">
        <v>156</v>
      </c>
      <c r="B19" s="3" t="s">
        <v>157</v>
      </c>
      <c r="C19" s="3" t="s">
        <v>158</v>
      </c>
      <c r="D19" s="4" t="s">
        <v>15</v>
      </c>
    </row>
    <row r="20" customFormat="false" ht="15" hidden="false" customHeight="false" outlineLevel="0" collapsed="false">
      <c r="A20" s="3" t="s">
        <v>159</v>
      </c>
      <c r="B20" s="3" t="s">
        <v>120</v>
      </c>
      <c r="C20" s="3" t="s">
        <v>160</v>
      </c>
      <c r="D20" s="4" t="s">
        <v>15</v>
      </c>
    </row>
    <row r="21" customFormat="false" ht="15" hidden="false" customHeight="false" outlineLevel="0" collapsed="false">
      <c r="A21" s="3" t="s">
        <v>161</v>
      </c>
      <c r="B21" s="3" t="s">
        <v>162</v>
      </c>
      <c r="C21" s="3" t="s">
        <v>163</v>
      </c>
      <c r="D21" s="4" t="s">
        <v>15</v>
      </c>
    </row>
    <row r="22" customFormat="false" ht="15" hidden="false" customHeight="false" outlineLevel="0" collapsed="false">
      <c r="A22" s="3" t="s">
        <v>164</v>
      </c>
      <c r="B22" s="3" t="s">
        <v>162</v>
      </c>
      <c r="C22" s="3" t="s">
        <v>165</v>
      </c>
      <c r="D22" s="4" t="s">
        <v>15</v>
      </c>
    </row>
    <row r="23" customFormat="false" ht="15" hidden="false" customHeight="false" outlineLevel="0" collapsed="false">
      <c r="A23" s="3" t="s">
        <v>166</v>
      </c>
      <c r="B23" s="3" t="s">
        <v>120</v>
      </c>
      <c r="C23" s="3" t="s">
        <v>167</v>
      </c>
      <c r="D23" s="4" t="s">
        <v>15</v>
      </c>
    </row>
    <row r="24" customFormat="false" ht="15" hidden="false" customHeight="false" outlineLevel="0" collapsed="false">
      <c r="A24" s="3" t="s">
        <v>168</v>
      </c>
      <c r="B24" s="3" t="s">
        <v>120</v>
      </c>
      <c r="C24" s="3" t="s">
        <v>169</v>
      </c>
      <c r="D24" s="4" t="s">
        <v>15</v>
      </c>
    </row>
    <row r="25" customFormat="false" ht="15" hidden="false" customHeight="false" outlineLevel="0" collapsed="false">
      <c r="A25" s="3" t="s">
        <v>170</v>
      </c>
      <c r="B25" s="3" t="s">
        <v>117</v>
      </c>
      <c r="C25" s="3" t="s">
        <v>171</v>
      </c>
      <c r="D25" s="4" t="s">
        <v>15</v>
      </c>
    </row>
    <row r="26" customFormat="false" ht="15" hidden="false" customHeight="false" outlineLevel="0" collapsed="false">
      <c r="A26" s="3" t="s">
        <v>172</v>
      </c>
      <c r="B26" s="3" t="s">
        <v>173</v>
      </c>
      <c r="C26" s="3" t="s">
        <v>174</v>
      </c>
      <c r="D26" s="4" t="s">
        <v>15</v>
      </c>
    </row>
    <row r="28" customFormat="false" ht="15" hidden="false" customHeight="false" outlineLevel="0" collapsed="false">
      <c r="A28" s="5" t="s">
        <v>175</v>
      </c>
      <c r="C28" s="5" t="n">
        <f aca="false">COUNTA(A4:A26)</f>
        <v>23</v>
      </c>
    </row>
    <row r="29" customFormat="false" ht="15" hidden="false" customHeight="false" outlineLevel="0" collapsed="false">
      <c r="A29" s="5" t="s">
        <v>176</v>
      </c>
      <c r="C29" s="5" t="n">
        <f aca="false">COUNTIF(D4:D26,"Yes")</f>
        <v>0</v>
      </c>
    </row>
  </sheetData>
  <dataValidations count="1">
    <dataValidation allowBlank="true" errorStyle="stop" operator="between" showDropDown="false" showErrorMessage="false" showInputMessage="false" sqref="D4:D2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56"/>
    <col collapsed="false" customWidth="true" hidden="false" outlineLevel="0" max="4" min="4" style="0" width="8"/>
  </cols>
  <sheetData>
    <row r="1" customFormat="false" ht="15" hidden="false" customHeight="false" outlineLevel="0" collapsed="false">
      <c r="A1" s="1" t="s">
        <v>177</v>
      </c>
    </row>
    <row r="3" customFormat="false" ht="15" hidden="false" customHeight="false" outlineLevel="0" collapsed="false">
      <c r="A3" s="2" t="s">
        <v>178</v>
      </c>
      <c r="B3" s="2" t="s">
        <v>179</v>
      </c>
      <c r="C3" s="2" t="s">
        <v>89</v>
      </c>
      <c r="D3" s="2" t="s">
        <v>180</v>
      </c>
    </row>
    <row r="4" customFormat="false" ht="15" hidden="false" customHeight="false" outlineLevel="0" collapsed="false">
      <c r="A4" s="3" t="s">
        <v>181</v>
      </c>
      <c r="B4" s="3" t="s">
        <v>182</v>
      </c>
      <c r="C4" s="3" t="s">
        <v>183</v>
      </c>
      <c r="D4" s="3" t="n">
        <v>8</v>
      </c>
    </row>
    <row r="5" customFormat="false" ht="15" hidden="false" customHeight="false" outlineLevel="0" collapsed="false">
      <c r="A5" s="3" t="s">
        <v>184</v>
      </c>
      <c r="B5" s="3" t="s">
        <v>182</v>
      </c>
      <c r="C5" s="3" t="s">
        <v>185</v>
      </c>
      <c r="D5" s="3" t="n">
        <v>8</v>
      </c>
    </row>
    <row r="6" customFormat="false" ht="15" hidden="false" customHeight="false" outlineLevel="0" collapsed="false">
      <c r="A6" s="3" t="s">
        <v>186</v>
      </c>
      <c r="B6" s="3" t="s">
        <v>187</v>
      </c>
      <c r="C6" s="3" t="s">
        <v>188</v>
      </c>
      <c r="D6" s="3" t="n">
        <v>1</v>
      </c>
    </row>
    <row r="8" customFormat="false" ht="15" hidden="false" customHeight="false" outlineLevel="0" collapsed="false">
      <c r="A8" s="5" t="s">
        <v>189</v>
      </c>
      <c r="D8" s="5" t="n">
        <f aca="false">SUM(D4:D6)</f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38"/>
    <col collapsed="false" customWidth="true" hidden="false" outlineLevel="0" max="4" min="4" style="0" width="22"/>
    <col collapsed="false" customWidth="true" hidden="false" outlineLevel="0" max="5" min="5" style="0" width="30"/>
  </cols>
  <sheetData>
    <row r="1" customFormat="false" ht="15" hidden="false" customHeight="false" outlineLevel="0" collapsed="false">
      <c r="A1" s="1" t="s">
        <v>190</v>
      </c>
    </row>
    <row r="3" customFormat="false" ht="15" hidden="false" customHeight="false" outlineLevel="0" collapsed="false">
      <c r="A3" s="2" t="s">
        <v>191</v>
      </c>
      <c r="B3" s="2" t="s">
        <v>192</v>
      </c>
      <c r="C3" s="2" t="s">
        <v>193</v>
      </c>
      <c r="D3" s="2" t="s">
        <v>194</v>
      </c>
      <c r="E3" s="2" t="s">
        <v>195</v>
      </c>
    </row>
    <row r="4" customFormat="false" ht="15" hidden="false" customHeight="false" outlineLevel="0" collapsed="false">
      <c r="A4" s="3" t="s">
        <v>196</v>
      </c>
      <c r="B4" s="3" t="s">
        <v>197</v>
      </c>
      <c r="C4" s="3" t="s">
        <v>198</v>
      </c>
      <c r="D4" s="3" t="s">
        <v>199</v>
      </c>
      <c r="E4" s="3" t="s">
        <v>200</v>
      </c>
    </row>
    <row r="5" customFormat="false" ht="15" hidden="false" customHeight="false" outlineLevel="0" collapsed="false">
      <c r="A5" s="3" t="s">
        <v>201</v>
      </c>
      <c r="B5" s="3" t="s">
        <v>202</v>
      </c>
      <c r="C5" s="3" t="s">
        <v>203</v>
      </c>
      <c r="D5" s="3" t="s">
        <v>204</v>
      </c>
      <c r="E5" s="3" t="s">
        <v>200</v>
      </c>
    </row>
    <row r="6" customFormat="false" ht="15" hidden="false" customHeight="false" outlineLevel="0" collapsed="false">
      <c r="A6" s="3" t="s">
        <v>205</v>
      </c>
      <c r="B6" s="3" t="s">
        <v>133</v>
      </c>
      <c r="C6" s="3" t="s">
        <v>206</v>
      </c>
      <c r="D6" s="3" t="s">
        <v>207</v>
      </c>
      <c r="E6" s="3" t="s">
        <v>208</v>
      </c>
    </row>
    <row r="7" customFormat="false" ht="15" hidden="false" customHeight="false" outlineLevel="0" collapsed="false">
      <c r="A7" s="3" t="s">
        <v>209</v>
      </c>
      <c r="B7" s="3" t="s">
        <v>136</v>
      </c>
      <c r="C7" s="3" t="s">
        <v>210</v>
      </c>
      <c r="D7" s="3" t="s">
        <v>144</v>
      </c>
      <c r="E7" s="3" t="s">
        <v>211</v>
      </c>
    </row>
    <row r="8" customFormat="false" ht="15" hidden="false" customHeight="false" outlineLevel="0" collapsed="false">
      <c r="A8" s="3" t="s">
        <v>212</v>
      </c>
      <c r="B8" s="3" t="s">
        <v>213</v>
      </c>
      <c r="C8" s="3" t="s">
        <v>214</v>
      </c>
      <c r="D8" s="3" t="s">
        <v>215</v>
      </c>
      <c r="E8" s="3" t="s">
        <v>216</v>
      </c>
    </row>
    <row r="9" customFormat="false" ht="15" hidden="false" customHeight="false" outlineLevel="0" collapsed="false">
      <c r="A9" s="3" t="s">
        <v>217</v>
      </c>
      <c r="B9" s="3" t="s">
        <v>139</v>
      </c>
      <c r="C9" s="3" t="s">
        <v>218</v>
      </c>
      <c r="D9" s="3" t="s">
        <v>219</v>
      </c>
      <c r="E9" s="3" t="s">
        <v>200</v>
      </c>
    </row>
    <row r="10" customFormat="false" ht="15" hidden="false" customHeight="false" outlineLevel="0" collapsed="false">
      <c r="A10" s="3" t="s">
        <v>220</v>
      </c>
      <c r="B10" s="3" t="s">
        <v>221</v>
      </c>
      <c r="C10" s="3" t="s">
        <v>222</v>
      </c>
      <c r="D10" s="3" t="s">
        <v>147</v>
      </c>
      <c r="E10" s="3" t="s">
        <v>223</v>
      </c>
    </row>
    <row r="11" customFormat="false" ht="15" hidden="false" customHeight="false" outlineLevel="0" collapsed="false">
      <c r="A11" s="3" t="s">
        <v>224</v>
      </c>
      <c r="B11" s="3" t="s">
        <v>127</v>
      </c>
      <c r="C11" s="3" t="s">
        <v>225</v>
      </c>
      <c r="D11" s="3" t="s">
        <v>152</v>
      </c>
      <c r="E11" s="3" t="s">
        <v>226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0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1" t="s">
        <v>227</v>
      </c>
    </row>
    <row r="3" customFormat="false" ht="15" hidden="false" customHeight="false" outlineLevel="0" collapsed="false">
      <c r="A3" s="2" t="s">
        <v>228</v>
      </c>
      <c r="B3" s="2" t="s">
        <v>229</v>
      </c>
      <c r="C3" s="2" t="s">
        <v>230</v>
      </c>
    </row>
    <row r="4" customFormat="false" ht="15" hidden="false" customHeight="false" outlineLevel="0" collapsed="false">
      <c r="A4" s="3" t="n">
        <v>1</v>
      </c>
      <c r="B4" s="3" t="s">
        <v>231</v>
      </c>
      <c r="C4" s="4"/>
    </row>
    <row r="5" customFormat="false" ht="15" hidden="false" customHeight="false" outlineLevel="0" collapsed="false">
      <c r="A5" s="3" t="n">
        <v>2</v>
      </c>
      <c r="B5" s="3" t="s">
        <v>232</v>
      </c>
      <c r="C5" s="4"/>
    </row>
    <row r="6" customFormat="false" ht="15" hidden="false" customHeight="false" outlineLevel="0" collapsed="false">
      <c r="A6" s="3" t="n">
        <v>3</v>
      </c>
      <c r="B6" s="3" t="s">
        <v>233</v>
      </c>
      <c r="C6" s="4"/>
    </row>
    <row r="7" customFormat="false" ht="15" hidden="false" customHeight="false" outlineLevel="0" collapsed="false">
      <c r="A7" s="3" t="n">
        <v>4</v>
      </c>
      <c r="B7" s="3" t="s">
        <v>234</v>
      </c>
      <c r="C7" s="4"/>
    </row>
    <row r="8" customFormat="false" ht="15" hidden="false" customHeight="false" outlineLevel="0" collapsed="false">
      <c r="A8" s="3" t="n">
        <v>5</v>
      </c>
      <c r="B8" s="3" t="s">
        <v>235</v>
      </c>
      <c r="C8" s="4"/>
    </row>
    <row r="9" customFormat="false" ht="15" hidden="false" customHeight="false" outlineLevel="0" collapsed="false">
      <c r="A9" s="3" t="n">
        <v>6</v>
      </c>
      <c r="B9" s="3" t="s">
        <v>236</v>
      </c>
      <c r="C9" s="4"/>
    </row>
    <row r="10" customFormat="false" ht="15" hidden="false" customHeight="false" outlineLevel="0" collapsed="false">
      <c r="A10" s="3" t="n">
        <v>7</v>
      </c>
      <c r="B10" s="3" t="s">
        <v>237</v>
      </c>
      <c r="C10" s="4"/>
    </row>
    <row r="11" customFormat="false" ht="15" hidden="false" customHeight="false" outlineLevel="0" collapsed="false">
      <c r="A11" s="3" t="n">
        <v>8</v>
      </c>
      <c r="B11" s="3" t="s">
        <v>238</v>
      </c>
      <c r="C11" s="4"/>
    </row>
    <row r="12" customFormat="false" ht="15" hidden="false" customHeight="false" outlineLevel="0" collapsed="false">
      <c r="A12" s="3" t="n">
        <v>9</v>
      </c>
      <c r="B12" s="3" t="s">
        <v>239</v>
      </c>
      <c r="C12" s="4"/>
    </row>
    <row r="13" customFormat="false" ht="15" hidden="false" customHeight="false" outlineLevel="0" collapsed="false">
      <c r="A13" s="3" t="n">
        <v>10</v>
      </c>
      <c r="B13" s="3" t="s">
        <v>240</v>
      </c>
      <c r="C13" s="4"/>
    </row>
    <row r="15" customFormat="false" ht="15" hidden="false" customHeight="false" outlineLevel="0" collapsed="false">
      <c r="A15" s="5" t="s">
        <v>241</v>
      </c>
      <c r="C15" s="7" t="n">
        <f aca="false">COUNTIF(C4:C13,"Yes")/COUNTA(A4:A13)</f>
        <v>0</v>
      </c>
    </row>
  </sheetData>
  <dataValidations count="1">
    <dataValidation allowBlank="true" errorStyle="stop" operator="between" showDropDown="false" showErrorMessage="false" showInputMessage="false" sqref="C4:C13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8" t="s">
        <v>242</v>
      </c>
    </row>
    <row r="2" customFormat="false" ht="15" hidden="false" customHeight="false" outlineLevel="0" collapsed="false">
      <c r="A2" s="9" t="s">
        <v>243</v>
      </c>
    </row>
    <row r="3" customFormat="false" ht="15" hidden="false" customHeight="false" outlineLevel="0" collapsed="false">
      <c r="A3" s="9" t="s">
        <v>244</v>
      </c>
    </row>
    <row r="4" customFormat="false" ht="23.85" hidden="false" customHeight="false" outlineLevel="0" collapsed="false">
      <c r="A4" s="9" t="s">
        <v>245</v>
      </c>
    </row>
    <row r="5" customFormat="false" ht="23.85" hidden="false" customHeight="false" outlineLevel="0" collapsed="false">
      <c r="A5" s="9" t="s">
        <v>246</v>
      </c>
    </row>
    <row r="6" customFormat="false" ht="15" hidden="false" customHeight="false" outlineLevel="0" collapsed="false">
      <c r="A6" s="9" t="s">
        <v>247</v>
      </c>
    </row>
    <row r="7" customFormat="false" ht="15" hidden="false" customHeight="false" outlineLevel="0" collapsed="false">
      <c r="A7" s="9" t="s">
        <v>248</v>
      </c>
    </row>
    <row r="8" customFormat="false" ht="15" hidden="false" customHeight="false" outlineLevel="0" collapsed="false">
      <c r="A8" s="9" t="s">
        <v>249</v>
      </c>
    </row>
    <row r="9" customFormat="false" ht="15" hidden="false" customHeight="false" outlineLevel="0" collapsed="false">
      <c r="A9" s="9" t="s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2026-10-14T22:30:00Z</dcterms:created>
  <dc:creator>openpyxl</dc:creator>
  <dc:description/>
  <dc:language>en-US</dc:language>
  <cp:lastModifiedBy/>
  <dcterms:modified xsi:type="dcterms:W3CDTF">2026-10-14T22:30:00Z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